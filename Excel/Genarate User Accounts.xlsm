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School-78\git\teamsforschool\Excel\"/>
    </mc:Choice>
  </mc:AlternateContent>
  <xr:revisionPtr revIDLastSave="0" documentId="13_ncr:1_{1E12A20C-C696-494E-AE10-33A9B4443B67}" xr6:coauthVersionLast="45" xr6:coauthVersionMax="45" xr10:uidLastSave="{00000000-0000-0000-0000-000000000000}"/>
  <bookViews>
    <workbookView xWindow="-120" yWindow="-120" windowWidth="29040" windowHeight="15840" xr2:uid="{5E6EFAAC-2907-410E-A3AD-B14ED5368F91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2" l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3" i="2"/>
  <c r="D3" i="1"/>
  <c r="D4" i="1"/>
  <c r="D5" i="1"/>
  <c r="D2" i="1"/>
  <c r="A3" i="1" a="1"/>
  <c r="A5" i="1" a="1"/>
  <c r="A4" i="1" a="1"/>
  <c r="A2" i="1" a="1"/>
  <c r="D4" i="2" a="1"/>
  <c r="D5" i="2" a="1"/>
  <c r="D9" i="2" a="1"/>
  <c r="D13" i="2" a="1"/>
  <c r="D17" i="2" a="1"/>
  <c r="D21" i="2" a="1"/>
  <c r="D25" i="2" a="1"/>
  <c r="D29" i="2" a="1"/>
  <c r="D33" i="2" a="1"/>
  <c r="D37" i="2" a="1"/>
  <c r="D41" i="2" a="1"/>
  <c r="D45" i="2" a="1"/>
  <c r="D49" i="2" a="1"/>
  <c r="D53" i="2" a="1"/>
  <c r="E5" i="2" a="1"/>
  <c r="E9" i="2" a="1"/>
  <c r="E13" i="2" a="1"/>
  <c r="E17" i="2" a="1"/>
  <c r="E21" i="2" a="1"/>
  <c r="E29" i="2" a="1"/>
  <c r="E37" i="2" a="1"/>
  <c r="E45" i="2" a="1"/>
  <c r="E53" i="2" a="1"/>
  <c r="D62" i="2" a="1"/>
  <c r="D70" i="2" a="1"/>
  <c r="D57" i="2" a="1"/>
  <c r="D65" i="2" a="1"/>
  <c r="D73" i="2" a="1"/>
  <c r="E26" i="2" a="1"/>
  <c r="E34" i="2" a="1"/>
  <c r="E42" i="2" a="1"/>
  <c r="E50" i="2" a="1"/>
  <c r="E57" i="2" a="1"/>
  <c r="E65" i="2" a="1"/>
  <c r="E56" i="2" a="1"/>
  <c r="D63" i="2" a="1"/>
  <c r="D59" i="2" a="1"/>
  <c r="E76" i="2" a="1"/>
  <c r="E64" i="2" a="1"/>
  <c r="D12" i="2" a="1"/>
  <c r="D20" i="2" a="1"/>
  <c r="D28" i="2" a="1"/>
  <c r="D36" i="2" a="1"/>
  <c r="D44" i="2" a="1"/>
  <c r="D52" i="2" a="1"/>
  <c r="E8" i="2" a="1"/>
  <c r="E20" i="2" a="1"/>
  <c r="E35" i="2" a="1"/>
  <c r="E59" i="2" a="1"/>
  <c r="E62" i="2" a="1"/>
  <c r="E32" i="2" a="1"/>
  <c r="D56" i="2" a="1"/>
  <c r="D75" i="2" a="1"/>
  <c r="D71" i="2" a="1"/>
  <c r="D6" i="2" a="1"/>
  <c r="D10" i="2" a="1"/>
  <c r="D14" i="2" a="1"/>
  <c r="D18" i="2" a="1"/>
  <c r="D22" i="2" a="1"/>
  <c r="D26" i="2" a="1"/>
  <c r="D30" i="2" a="1"/>
  <c r="D34" i="2" a="1"/>
  <c r="D38" i="2" a="1"/>
  <c r="D42" i="2" a="1"/>
  <c r="D46" i="2" a="1"/>
  <c r="D50" i="2" a="1"/>
  <c r="D54" i="2" a="1"/>
  <c r="E6" i="2" a="1"/>
  <c r="E10" i="2" a="1"/>
  <c r="E14" i="2" a="1"/>
  <c r="E18" i="2" a="1"/>
  <c r="E23" i="2" a="1"/>
  <c r="E31" i="2" a="1"/>
  <c r="E39" i="2" a="1"/>
  <c r="E47" i="2" a="1"/>
  <c r="E55" i="2" a="1"/>
  <c r="E63" i="2" a="1"/>
  <c r="E71" i="2" a="1"/>
  <c r="E58" i="2" a="1"/>
  <c r="E66" i="2" a="1"/>
  <c r="E74" i="2" a="1"/>
  <c r="E28" i="2" a="1"/>
  <c r="E36" i="2" a="1"/>
  <c r="E44" i="2" a="1"/>
  <c r="E52" i="2" a="1"/>
  <c r="D60" i="2" a="1"/>
  <c r="E60" i="2" a="1"/>
  <c r="D67" i="2" a="1"/>
  <c r="D68" i="2" a="1"/>
  <c r="D3" i="2" a="1"/>
  <c r="D16" i="2" a="1"/>
  <c r="E12" i="2" a="1"/>
  <c r="E43" i="2" a="1"/>
  <c r="E67" i="2" a="1"/>
  <c r="E24" i="2" a="1"/>
  <c r="E48" i="2" a="1"/>
  <c r="D72" i="2" a="1"/>
  <c r="D7" i="2" a="1"/>
  <c r="D11" i="2" a="1"/>
  <c r="D15" i="2" a="1"/>
  <c r="D19" i="2" a="1"/>
  <c r="D23" i="2" a="1"/>
  <c r="D27" i="2" a="1"/>
  <c r="D31" i="2" a="1"/>
  <c r="D35" i="2" a="1"/>
  <c r="D39" i="2" a="1"/>
  <c r="D43" i="2" a="1"/>
  <c r="D47" i="2" a="1"/>
  <c r="D51" i="2" a="1"/>
  <c r="D55" i="2" a="1"/>
  <c r="E7" i="2" a="1"/>
  <c r="E11" i="2" a="1"/>
  <c r="E15" i="2" a="1"/>
  <c r="E19" i="2" a="1"/>
  <c r="E25" i="2" a="1"/>
  <c r="E33" i="2" a="1"/>
  <c r="E41" i="2" a="1"/>
  <c r="E49" i="2" a="1"/>
  <c r="D58" i="2" a="1"/>
  <c r="D66" i="2" a="1"/>
  <c r="D74" i="2" a="1"/>
  <c r="D61" i="2" a="1"/>
  <c r="D69" i="2" a="1"/>
  <c r="E22" i="2" a="1"/>
  <c r="E30" i="2" a="1"/>
  <c r="E38" i="2" a="1"/>
  <c r="E46" i="2" a="1"/>
  <c r="E54" i="2" a="1"/>
  <c r="E61" i="2" a="1"/>
  <c r="E69" i="2" a="1"/>
  <c r="E72" i="2" a="1"/>
  <c r="E73" i="2" a="1"/>
  <c r="E68" i="2" a="1"/>
  <c r="D8" i="2" a="1"/>
  <c r="D24" i="2" a="1"/>
  <c r="D32" i="2" a="1"/>
  <c r="D40" i="2" a="1"/>
  <c r="D48" i="2" a="1"/>
  <c r="E4" i="2" a="1"/>
  <c r="E16" i="2" a="1"/>
  <c r="E27" i="2" a="1"/>
  <c r="E51" i="2" a="1"/>
  <c r="E75" i="2" a="1"/>
  <c r="E70" i="2" a="1"/>
  <c r="E40" i="2" a="1"/>
  <c r="D64" i="2" a="1"/>
  <c r="D76" i="2" a="1"/>
  <c r="E3" i="2" a="1"/>
  <c r="A4" i="1" l="1"/>
  <c r="A5" i="1"/>
  <c r="A3" i="1"/>
  <c r="A2" i="1"/>
  <c r="E3" i="2"/>
  <c r="D76" i="2"/>
  <c r="D64" i="2"/>
  <c r="E40" i="2"/>
  <c r="E70" i="2"/>
  <c r="E75" i="2"/>
  <c r="E51" i="2"/>
  <c r="E27" i="2"/>
  <c r="E16" i="2"/>
  <c r="E4" i="2"/>
  <c r="D48" i="2"/>
  <c r="D40" i="2"/>
  <c r="D32" i="2"/>
  <c r="D24" i="2"/>
  <c r="D8" i="2"/>
  <c r="E68" i="2"/>
  <c r="E73" i="2"/>
  <c r="E72" i="2"/>
  <c r="E69" i="2"/>
  <c r="E61" i="2"/>
  <c r="E54" i="2"/>
  <c r="E46" i="2"/>
  <c r="E38" i="2"/>
  <c r="E30" i="2"/>
  <c r="E22" i="2"/>
  <c r="D69" i="2"/>
  <c r="D61" i="2"/>
  <c r="D74" i="2"/>
  <c r="D66" i="2"/>
  <c r="D58" i="2"/>
  <c r="E49" i="2"/>
  <c r="E41" i="2"/>
  <c r="E33" i="2"/>
  <c r="E25" i="2"/>
  <c r="E19" i="2"/>
  <c r="E15" i="2"/>
  <c r="E11" i="2"/>
  <c r="E7" i="2"/>
  <c r="D55" i="2"/>
  <c r="D51" i="2"/>
  <c r="D47" i="2"/>
  <c r="D43" i="2"/>
  <c r="D39" i="2"/>
  <c r="D35" i="2"/>
  <c r="D31" i="2"/>
  <c r="D27" i="2"/>
  <c r="D23" i="2"/>
  <c r="D19" i="2"/>
  <c r="D15" i="2"/>
  <c r="D11" i="2"/>
  <c r="D7" i="2"/>
  <c r="D72" i="2"/>
  <c r="E48" i="2"/>
  <c r="E24" i="2"/>
  <c r="E67" i="2"/>
  <c r="E43" i="2"/>
  <c r="E12" i="2"/>
  <c r="D16" i="2"/>
  <c r="D3" i="2"/>
  <c r="D68" i="2"/>
  <c r="D67" i="2"/>
  <c r="E60" i="2"/>
  <c r="D60" i="2"/>
  <c r="E52" i="2"/>
  <c r="E44" i="2"/>
  <c r="E36" i="2"/>
  <c r="E28" i="2"/>
  <c r="E74" i="2"/>
  <c r="E66" i="2"/>
  <c r="E58" i="2"/>
  <c r="E71" i="2"/>
  <c r="E63" i="2"/>
  <c r="E55" i="2"/>
  <c r="E47" i="2"/>
  <c r="E39" i="2"/>
  <c r="E31" i="2"/>
  <c r="E23" i="2"/>
  <c r="E18" i="2"/>
  <c r="E14" i="2"/>
  <c r="E10" i="2"/>
  <c r="E6" i="2"/>
  <c r="D54" i="2"/>
  <c r="D50" i="2"/>
  <c r="D46" i="2"/>
  <c r="D42" i="2"/>
  <c r="D38" i="2"/>
  <c r="D34" i="2"/>
  <c r="D30" i="2"/>
  <c r="D26" i="2"/>
  <c r="D22" i="2"/>
  <c r="D18" i="2"/>
  <c r="D14" i="2"/>
  <c r="D10" i="2"/>
  <c r="D6" i="2"/>
  <c r="D71" i="2"/>
  <c r="D75" i="2"/>
  <c r="D56" i="2"/>
  <c r="E32" i="2"/>
  <c r="E62" i="2"/>
  <c r="E59" i="2"/>
  <c r="E35" i="2"/>
  <c r="E20" i="2"/>
  <c r="E8" i="2"/>
  <c r="D52" i="2"/>
  <c r="D44" i="2"/>
  <c r="D36" i="2"/>
  <c r="D28" i="2"/>
  <c r="D20" i="2"/>
  <c r="D12" i="2"/>
  <c r="E64" i="2"/>
  <c r="E76" i="2"/>
  <c r="D59" i="2"/>
  <c r="D63" i="2"/>
  <c r="E56" i="2"/>
  <c r="E65" i="2"/>
  <c r="E57" i="2"/>
  <c r="E50" i="2"/>
  <c r="E42" i="2"/>
  <c r="E34" i="2"/>
  <c r="E26" i="2"/>
  <c r="D73" i="2"/>
  <c r="D65" i="2"/>
  <c r="D57" i="2"/>
  <c r="D70" i="2"/>
  <c r="D62" i="2"/>
  <c r="E53" i="2"/>
  <c r="E45" i="2"/>
  <c r="E37" i="2"/>
  <c r="E29" i="2"/>
  <c r="E21" i="2"/>
  <c r="E17" i="2"/>
  <c r="E13" i="2"/>
  <c r="E9" i="2"/>
  <c r="E5" i="2"/>
  <c r="D53" i="2"/>
  <c r="D49" i="2"/>
  <c r="D45" i="2"/>
  <c r="D41" i="2"/>
  <c r="D37" i="2"/>
  <c r="D33" i="2"/>
  <c r="D29" i="2"/>
  <c r="D25" i="2"/>
  <c r="D21" i="2"/>
  <c r="D17" i="2"/>
  <c r="D13" i="2"/>
  <c r="D9" i="2"/>
  <c r="D5" i="2"/>
  <c r="D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<sst xmlns="http://schemas.openxmlformats.org/spreadsheetml/2006/main" count="112" uniqueCount="102">
  <si>
    <t>Посада</t>
  </si>
  <si>
    <t>7-А</t>
  </si>
  <si>
    <t>Вчитель зарубіжної літератури</t>
  </si>
  <si>
    <t>7-В</t>
  </si>
  <si>
    <t>7-Г</t>
  </si>
  <si>
    <t>8-А</t>
  </si>
  <si>
    <t>Віктор</t>
  </si>
  <si>
    <t>Терещенко</t>
  </si>
  <si>
    <t>Ткаченко</t>
  </si>
  <si>
    <t>Ім’я користувача</t>
  </si>
  <si>
    <t>Ім’я</t>
  </si>
  <si>
    <t>Прізвище</t>
  </si>
  <si>
    <t>Коротке ім’я</t>
  </si>
  <si>
    <t>Підрозділ</t>
  </si>
  <si>
    <t>Номер офіса</t>
  </si>
  <si>
    <t>Робочий телефон</t>
  </si>
  <si>
    <t>Мобільний телефон</t>
  </si>
  <si>
    <t>Факс</t>
  </si>
  <si>
    <t>Адреса</t>
  </si>
  <si>
    <t>Місто</t>
  </si>
  <si>
    <t>Область або республіка</t>
  </si>
  <si>
    <t>Поштовий індекс</t>
  </si>
  <si>
    <t>Країна або регіон</t>
  </si>
  <si>
    <t>країнський алфавіт</t>
  </si>
  <si>
    <t>Латиниця</t>
  </si>
  <si>
    <t>Позиція у слові</t>
  </si>
  <si>
    <t>Аа</t>
  </si>
  <si>
    <t>Aа</t>
  </si>
  <si>
    <t>Бб</t>
  </si>
  <si>
    <t>Bb</t>
  </si>
  <si>
    <t>Вв</t>
  </si>
  <si>
    <t>Vv</t>
  </si>
  <si>
    <t>Гг</t>
  </si>
  <si>
    <t>Hh</t>
  </si>
  <si>
    <t>Ґґ</t>
  </si>
  <si>
    <t>Gg</t>
  </si>
  <si>
    <t>Дд</t>
  </si>
  <si>
    <t>Dd</t>
  </si>
  <si>
    <t>Ее</t>
  </si>
  <si>
    <t>Eе</t>
  </si>
  <si>
    <t>Єє</t>
  </si>
  <si>
    <t>Ye</t>
  </si>
  <si>
    <t>ie</t>
  </si>
  <si>
    <t>на початку слова</t>
  </si>
  <si>
    <t>в інших позиціях</t>
  </si>
  <si>
    <t>Жж</t>
  </si>
  <si>
    <t>Zh zh</t>
  </si>
  <si>
    <t>Зз</t>
  </si>
  <si>
    <t>Zz</t>
  </si>
  <si>
    <t>Ии</t>
  </si>
  <si>
    <t>Yy</t>
  </si>
  <si>
    <t>Іі</t>
  </si>
  <si>
    <t>Ii</t>
  </si>
  <si>
    <t>Її</t>
  </si>
  <si>
    <t>Yi</t>
  </si>
  <si>
    <t>i</t>
  </si>
  <si>
    <t>Йй</t>
  </si>
  <si>
    <t>Y</t>
  </si>
  <si>
    <t>Кк</t>
  </si>
  <si>
    <t>Kk</t>
  </si>
  <si>
    <t>Лл</t>
  </si>
  <si>
    <t>Ll</t>
  </si>
  <si>
    <t>Мм</t>
  </si>
  <si>
    <t>Mm</t>
  </si>
  <si>
    <t>Нн</t>
  </si>
  <si>
    <t>Nn</t>
  </si>
  <si>
    <t>Оо</t>
  </si>
  <si>
    <t>Oo</t>
  </si>
  <si>
    <t>Пп</t>
  </si>
  <si>
    <t>Pp</t>
  </si>
  <si>
    <t>Рр</t>
  </si>
  <si>
    <t>Rr</t>
  </si>
  <si>
    <t>Сс</t>
  </si>
  <si>
    <t>Ss</t>
  </si>
  <si>
    <t>Тт</t>
  </si>
  <si>
    <t>Tt</t>
  </si>
  <si>
    <t>Уу</t>
  </si>
  <si>
    <t>Uu</t>
  </si>
  <si>
    <t>Фф</t>
  </si>
  <si>
    <t>Ff</t>
  </si>
  <si>
    <t>Хх</t>
  </si>
  <si>
    <t>Kh kh</t>
  </si>
  <si>
    <t>Цц</t>
  </si>
  <si>
    <t>Ts ts</t>
  </si>
  <si>
    <t>Чч</t>
  </si>
  <si>
    <t>Ch ch</t>
  </si>
  <si>
    <t>Шш</t>
  </si>
  <si>
    <t>Sh sh</t>
  </si>
  <si>
    <t>Щщ</t>
  </si>
  <si>
    <t>Shch shch</t>
  </si>
  <si>
    <t>Юю</t>
  </si>
  <si>
    <t>Yu</t>
  </si>
  <si>
    <t>іu</t>
  </si>
  <si>
    <t>Яя</t>
  </si>
  <si>
    <t>Ya</t>
  </si>
  <si>
    <t>ia</t>
  </si>
  <si>
    <t>Іванов</t>
  </si>
  <si>
    <t>Дмитро</t>
  </si>
  <si>
    <t>Шевченко</t>
  </si>
  <si>
    <t>Яна</t>
  </si>
  <si>
    <t>Лідія</t>
  </si>
  <si>
    <t>Учень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</si>
</sst>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charset val="204"/>
      <scheme val="minor"/>
    </font>
    <font>
      <b/>
      <sz val="14"/>
      <color rgb="FF000000"/>
      <name val="Verdana"/>
      <family val="2"/>
      <charset val="204"/>
    </font>
    <font>
      <sz val="9"/>
      <color rgb="FF000000"/>
      <name val="Verdana"/>
      <family val="2"/>
      <charset val="204"/>
    </font>
    <font>
      <b/>
      <sz val="9"/>
      <color rgb="FF000000"/>
      <name val="Inherit"/>
    </font>
    <font>
      <sz val="9"/>
      <color rgb="FF555555"/>
      <name val="Open Sans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CF8E3"/>
        <bgColor indexed="64"/>
      </patternFill>
    </fill>
  </fills>
  <borders count="4">
    <border>
      <left/>
      <right/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3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vertical="center" wrapText="1"/>
    </xf>
    <xf numFmtId="0" fontId="2" fillId="2" borderId="3" xfId="0" applyFont="1" applyFill="1" applyBorder="1" applyAlignment="1">
      <alignment vertical="center" wrapText="1"/>
    </xf>
    <xf numFmtId="0" fontId="0" fillId="2" borderId="2" xfId="0" applyFill="1" applyBorder="1" applyAlignment="1">
      <alignment vertical="top" wrapText="1"/>
    </xf>
    <xf numFmtId="0" fontId="0" fillId="2" borderId="3" xfId="0" applyFill="1" applyBorder="1" applyAlignment="1">
      <alignment vertical="top" wrapText="1"/>
    </xf>
    <xf numFmtId="0" fontId="1" fillId="3" borderId="2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4" fillId="2" borderId="3" xfId="0" applyFont="1" applyFill="1" applyBorder="1" applyAlignment="1">
      <alignment vertical="top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53B4D-DE4A-4B1B-AAF2-88F1600E20F4}">
  <sheetPr codeName="Sheet1"/>
  <dimension ref="A1:O5"/>
  <sheetViews>
    <sheetView tabSelected="1" workbookViewId="0">
      <selection activeCell="B10" sqref="B10"/>
    </sheetView>
  </sheetViews>
  <sheetFormatPr defaultRowHeight="15"/>
  <cols>
    <col min="1" max="1" width="39.5703125" bestFit="1" customWidth="1"/>
    <col min="2" max="2" width="12" bestFit="1" customWidth="1"/>
    <col min="3" max="3" width="13.85546875" bestFit="1" customWidth="1"/>
    <col min="4" max="4" width="22.140625" bestFit="1" customWidth="1"/>
    <col min="5" max="5" width="37.7109375" bestFit="1" customWidth="1"/>
    <col min="6" max="6" width="10" bestFit="1" customWidth="1"/>
    <col min="7" max="7" width="12.42578125" bestFit="1" customWidth="1"/>
    <col min="8" max="8" width="17.42578125" bestFit="1" customWidth="1"/>
    <col min="9" max="9" width="19.7109375" bestFit="1" customWidth="1"/>
    <col min="10" max="10" width="5.28515625" bestFit="1" customWidth="1"/>
    <col min="11" max="11" width="7.5703125" bestFit="1" customWidth="1"/>
    <col min="12" max="12" width="6.140625" bestFit="1" customWidth="1"/>
    <col min="13" max="13" width="23.140625" bestFit="1" customWidth="1"/>
    <col min="14" max="14" width="16.7109375" bestFit="1" customWidth="1"/>
    <col min="15" max="15" width="17" bestFit="1" customWidth="1"/>
  </cols>
  <sheetData>
    <row r="1" spans="1:15">
      <c r="A1" t="s">
        <v>9</v>
      </c>
      <c r="B1" t="s">
        <v>10</v>
      </c>
      <c r="C1" t="s">
        <v>11</v>
      </c>
      <c r="D1" t="s">
        <v>12</v>
      </c>
      <c r="E1" t="s">
        <v>0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</row>
    <row r="2" spans="1:15">
      <c r="A2" t="str" cm="1">
        <f t="array" ref="A2">SUBSTITUTE(_xlfn.CONCAT(SUBSTITUTE(translit(D2)," ","."),"@school.kiev.ua"),"'","")</f>
        <v>Viktor.Іvanov@school.kiev.ua</v>
      </c>
      <c r="B2" t="s">
        <v>6</v>
      </c>
      <c r="C2" t="s">
        <v>96</v>
      </c>
      <c r="D2" t="str">
        <f>_xlfn.CONCAT(B2," ",C2)</f>
        <v>Віктор Іванов</v>
      </c>
      <c r="E2" t="s">
        <v>101</v>
      </c>
      <c r="F2" t="s">
        <v>1</v>
      </c>
    </row>
    <row r="3" spans="1:15">
      <c r="A3" t="str" cm="1">
        <f t="array" ref="A3">SUBSTITUTE(_xlfn.CONCAT(SUBSTITUTE(translit(D3)," ","."),"@school.kiev.ua"),"'","")</f>
        <v>Dmytro.Shevchenko@school.kiev.ua</v>
      </c>
      <c r="B3" t="s">
        <v>97</v>
      </c>
      <c r="C3" t="s">
        <v>98</v>
      </c>
      <c r="D3" t="str">
        <f t="shared" ref="D3:D5" si="0">_xlfn.CONCAT(B3," ",C3)</f>
        <v>Дмитро Шевченко</v>
      </c>
      <c r="E3" t="s">
        <v>2</v>
      </c>
      <c r="F3" t="s">
        <v>3</v>
      </c>
    </row>
    <row r="4" spans="1:15">
      <c r="A4" t="str" cm="1">
        <f t="array" ref="A4">SUBSTITUTE(_xlfn.CONCAT(SUBSTITUTE(translit(D4)," ","."),"@school.kiev.ua"),"'","")</f>
        <v>Yana.Tereshchenko@school.kiev.ua</v>
      </c>
      <c r="B4" t="s">
        <v>99</v>
      </c>
      <c r="C4" t="s">
        <v>7</v>
      </c>
      <c r="D4" t="str">
        <f t="shared" si="0"/>
        <v>Яна Терещенко</v>
      </c>
      <c r="E4" t="s">
        <v>101</v>
      </c>
      <c r="F4" t="s">
        <v>4</v>
      </c>
    </row>
    <row r="5" spans="1:15">
      <c r="A5" t="str" cm="1">
        <f t="array" ref="A5">SUBSTITUTE(_xlfn.CONCAT(SUBSTITUTE(translit(D5)," ","."),"@school.kiev.ua"),"'","")</f>
        <v>Lidiia.Tkachenko@school.kiev.ua</v>
      </c>
      <c r="B5" t="s">
        <v>100</v>
      </c>
      <c r="C5" t="s">
        <v>8</v>
      </c>
      <c r="D5" t="str">
        <f t="shared" si="0"/>
        <v>Лідія Ткаченко</v>
      </c>
      <c r="F5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D2A02-926D-4232-9FBF-52CF0B704678}">
  <sheetPr codeName="Sheet2"/>
  <dimension ref="A1:G77"/>
  <sheetViews>
    <sheetView workbookViewId="0">
      <selection activeCell="D3" sqref="D3:E76"/>
    </sheetView>
  </sheetViews>
  <sheetFormatPr defaultRowHeight="15"/>
  <cols>
    <col min="1" max="1" width="17.42578125" bestFit="1" customWidth="1"/>
    <col min="2" max="2" width="3" bestFit="1" customWidth="1"/>
    <col min="3" max="3" width="6.85546875" customWidth="1"/>
    <col min="4" max="5" width="5.28515625" customWidth="1"/>
    <col min="6" max="6" width="17.85546875" customWidth="1"/>
    <col min="7" max="7" width="35.85546875" customWidth="1"/>
  </cols>
  <sheetData>
    <row r="1" spans="1:7" ht="53.25" customHeight="1">
      <c r="A1" s="11" t="s">
        <v>23</v>
      </c>
      <c r="B1" s="1"/>
      <c r="C1" s="1"/>
      <c r="D1" s="1"/>
      <c r="E1" s="1"/>
      <c r="F1" s="13" t="s">
        <v>24</v>
      </c>
      <c r="G1" s="13" t="s">
        <v>25</v>
      </c>
    </row>
    <row r="2" spans="1:7" ht="18.75" thickBot="1">
      <c r="A2" s="12"/>
      <c r="B2" s="7"/>
      <c r="C2" s="7"/>
      <c r="D2" s="7"/>
      <c r="E2" s="7"/>
      <c r="F2" s="14"/>
      <c r="G2" s="14"/>
    </row>
    <row r="3" spans="1:7" ht="15.75" thickBot="1">
      <c r="A3" s="2" t="s">
        <v>26</v>
      </c>
      <c r="B3" s="2" t="str">
        <f>LEFT(A3,1)</f>
        <v>А</v>
      </c>
      <c r="C3" s="2" t="str">
        <f>RIGHT(A3,1)</f>
        <v>а</v>
      </c>
      <c r="D3" s="2" t="str" cm="1">
        <f t="array" ref="D3">translit(B3)</f>
        <v>A</v>
      </c>
      <c r="E3" s="2" t="str" cm="1">
        <f t="array" ref="E3">translit(C3)</f>
        <v>a</v>
      </c>
      <c r="F3" s="2" t="s">
        <v>27</v>
      </c>
      <c r="G3" s="8"/>
    </row>
    <row r="4" spans="1:7" ht="15.75" thickBot="1">
      <c r="A4" s="3"/>
      <c r="B4" s="2" t="str">
        <f t="shared" ref="B4:B67" si="0">LEFT(A4,1)</f>
        <v/>
      </c>
      <c r="C4" s="2" t="str">
        <f t="shared" ref="C4:C67" si="1">RIGHT(A4,1)</f>
        <v/>
      </c>
      <c r="D4" s="2" t="str" cm="1">
        <f t="array" ref="D4">translit(B4)</f>
        <v/>
      </c>
      <c r="E4" s="2" t="str" cm="1">
        <f t="array" ref="E4">translit(C4)</f>
        <v/>
      </c>
      <c r="F4" s="3"/>
      <c r="G4" s="9"/>
    </row>
    <row r="5" spans="1:7" ht="15.75" thickBot="1">
      <c r="A5" s="2" t="s">
        <v>28</v>
      </c>
      <c r="B5" s="2" t="str">
        <f t="shared" si="0"/>
        <v>Б</v>
      </c>
      <c r="C5" s="2" t="str">
        <f t="shared" si="1"/>
        <v>б</v>
      </c>
      <c r="D5" s="2" t="str" cm="1">
        <f t="array" ref="D5">translit(B5)</f>
        <v>B</v>
      </c>
      <c r="E5" s="2" t="str" cm="1">
        <f t="array" ref="E5">translit(C5)</f>
        <v>b</v>
      </c>
      <c r="F5" s="2" t="s">
        <v>29</v>
      </c>
      <c r="G5" s="8"/>
    </row>
    <row r="6" spans="1:7" ht="15.75" thickBot="1">
      <c r="A6" s="3"/>
      <c r="B6" s="2" t="str">
        <f t="shared" si="0"/>
        <v/>
      </c>
      <c r="C6" s="2" t="str">
        <f t="shared" si="1"/>
        <v/>
      </c>
      <c r="D6" s="2" t="str" cm="1">
        <f t="array" ref="D6">translit(B6)</f>
        <v/>
      </c>
      <c r="E6" s="2" t="str" cm="1">
        <f t="array" ref="E6">translit(C6)</f>
        <v/>
      </c>
      <c r="F6" s="3"/>
      <c r="G6" s="9"/>
    </row>
    <row r="7" spans="1:7" ht="15.75" thickBot="1">
      <c r="A7" s="2" t="s">
        <v>30</v>
      </c>
      <c r="B7" s="2" t="str">
        <f t="shared" si="0"/>
        <v>В</v>
      </c>
      <c r="C7" s="2" t="str">
        <f t="shared" si="1"/>
        <v>в</v>
      </c>
      <c r="D7" s="2" t="str" cm="1">
        <f t="array" ref="D7">translit(B7)</f>
        <v>V</v>
      </c>
      <c r="E7" s="2" t="str" cm="1">
        <f t="array" ref="E7">translit(C7)</f>
        <v>v</v>
      </c>
      <c r="F7" s="2" t="s">
        <v>31</v>
      </c>
      <c r="G7" s="8"/>
    </row>
    <row r="8" spans="1:7" ht="15.75" thickBot="1">
      <c r="A8" s="3"/>
      <c r="B8" s="2" t="str">
        <f t="shared" si="0"/>
        <v/>
      </c>
      <c r="C8" s="2" t="str">
        <f t="shared" si="1"/>
        <v/>
      </c>
      <c r="D8" s="2" t="str" cm="1">
        <f t="array" ref="D8">translit(B8)</f>
        <v/>
      </c>
      <c r="E8" s="2" t="str" cm="1">
        <f t="array" ref="E8">translit(C8)</f>
        <v/>
      </c>
      <c r="F8" s="3"/>
      <c r="G8" s="9"/>
    </row>
    <row r="9" spans="1:7" ht="15.75" thickBot="1">
      <c r="A9" s="2" t="s">
        <v>32</v>
      </c>
      <c r="B9" s="2" t="str">
        <f t="shared" si="0"/>
        <v>Г</v>
      </c>
      <c r="C9" s="2" t="str">
        <f t="shared" si="1"/>
        <v>г</v>
      </c>
      <c r="D9" s="2" t="str" cm="1">
        <f t="array" ref="D9">translit(B9)</f>
        <v>H</v>
      </c>
      <c r="E9" s="2" t="str" cm="1">
        <f t="array" ref="E9">translit(C9)</f>
        <v>h</v>
      </c>
      <c r="F9" s="2" t="s">
        <v>33</v>
      </c>
      <c r="G9" s="8"/>
    </row>
    <row r="10" spans="1:7" ht="15.75" thickBot="1">
      <c r="A10" s="4"/>
      <c r="B10" s="2" t="str">
        <f t="shared" si="0"/>
        <v/>
      </c>
      <c r="C10" s="2" t="str">
        <f t="shared" si="1"/>
        <v/>
      </c>
      <c r="D10" s="2" t="str" cm="1">
        <f t="array" ref="D10">translit(B10)</f>
        <v/>
      </c>
      <c r="E10" s="2" t="str" cm="1">
        <f t="array" ref="E10">translit(C10)</f>
        <v/>
      </c>
      <c r="F10" s="4"/>
      <c r="G10" s="10"/>
    </row>
    <row r="11" spans="1:7" ht="15.75" thickBot="1">
      <c r="A11" s="3"/>
      <c r="B11" s="2" t="str">
        <f t="shared" si="0"/>
        <v/>
      </c>
      <c r="C11" s="2" t="str">
        <f t="shared" si="1"/>
        <v/>
      </c>
      <c r="D11" s="2" t="str" cm="1">
        <f t="array" ref="D11">translit(B11)</f>
        <v/>
      </c>
      <c r="E11" s="2" t="str" cm="1">
        <f t="array" ref="E11">translit(C11)</f>
        <v/>
      </c>
      <c r="F11" s="3"/>
      <c r="G11" s="9"/>
    </row>
    <row r="12" spans="1:7" ht="15.75" thickBot="1">
      <c r="A12" s="2" t="s">
        <v>34</v>
      </c>
      <c r="B12" s="2" t="str">
        <f t="shared" si="0"/>
        <v>Ґ</v>
      </c>
      <c r="C12" s="2" t="str">
        <f t="shared" si="1"/>
        <v>ґ</v>
      </c>
      <c r="D12" s="2" t="str" cm="1">
        <f t="array" ref="D12">translit(B12)</f>
        <v>G</v>
      </c>
      <c r="E12" s="2" t="str" cm="1">
        <f t="array" ref="E12">translit(C12)</f>
        <v>g</v>
      </c>
      <c r="F12" s="2" t="s">
        <v>35</v>
      </c>
      <c r="G12" s="8"/>
    </row>
    <row r="13" spans="1:7" ht="15.75" thickBot="1">
      <c r="A13" s="3"/>
      <c r="B13" s="2" t="str">
        <f t="shared" si="0"/>
        <v/>
      </c>
      <c r="C13" s="2" t="str">
        <f t="shared" si="1"/>
        <v/>
      </c>
      <c r="D13" s="2" t="str" cm="1">
        <f t="array" ref="D13">translit(B13)</f>
        <v/>
      </c>
      <c r="E13" s="2" t="str" cm="1">
        <f t="array" ref="E13">translit(C13)</f>
        <v/>
      </c>
      <c r="F13" s="3"/>
      <c r="G13" s="9"/>
    </row>
    <row r="14" spans="1:7" ht="15.75" thickBot="1">
      <c r="A14" s="2" t="s">
        <v>36</v>
      </c>
      <c r="B14" s="2" t="str">
        <f t="shared" si="0"/>
        <v>Д</v>
      </c>
      <c r="C14" s="2" t="str">
        <f t="shared" si="1"/>
        <v>д</v>
      </c>
      <c r="D14" s="2" t="str" cm="1">
        <f t="array" ref="D14">translit(B14)</f>
        <v>D</v>
      </c>
      <c r="E14" s="2" t="str" cm="1">
        <f t="array" ref="E14">translit(C14)</f>
        <v>d</v>
      </c>
      <c r="F14" s="2" t="s">
        <v>37</v>
      </c>
      <c r="G14" s="8"/>
    </row>
    <row r="15" spans="1:7" ht="15.75" thickBot="1">
      <c r="A15" s="3"/>
      <c r="B15" s="2" t="str">
        <f t="shared" si="0"/>
        <v/>
      </c>
      <c r="C15" s="2" t="str">
        <f t="shared" si="1"/>
        <v/>
      </c>
      <c r="D15" s="2" t="str" cm="1">
        <f t="array" ref="D15">translit(B15)</f>
        <v/>
      </c>
      <c r="E15" s="2" t="str" cm="1">
        <f t="array" ref="E15">translit(C15)</f>
        <v/>
      </c>
      <c r="F15" s="3"/>
      <c r="G15" s="9"/>
    </row>
    <row r="16" spans="1:7" ht="15.75" thickBot="1">
      <c r="A16" s="2" t="s">
        <v>38</v>
      </c>
      <c r="B16" s="2" t="str">
        <f t="shared" si="0"/>
        <v>Е</v>
      </c>
      <c r="C16" s="2" t="str">
        <f t="shared" si="1"/>
        <v>е</v>
      </c>
      <c r="D16" s="2" t="str" cm="1">
        <f t="array" ref="D16">translit(B16)</f>
        <v>E</v>
      </c>
      <c r="E16" s="2" t="str" cm="1">
        <f t="array" ref="E16">translit(C16)</f>
        <v>e</v>
      </c>
      <c r="F16" s="2" t="s">
        <v>39</v>
      </c>
      <c r="G16" s="8"/>
    </row>
    <row r="17" spans="1:7" ht="15.75" thickBot="1">
      <c r="A17" s="4"/>
      <c r="B17" s="2" t="str">
        <f t="shared" si="0"/>
        <v/>
      </c>
      <c r="C17" s="2" t="str">
        <f t="shared" si="1"/>
        <v/>
      </c>
      <c r="D17" s="2" t="str" cm="1">
        <f t="array" ref="D17">translit(B17)</f>
        <v/>
      </c>
      <c r="E17" s="2" t="str" cm="1">
        <f t="array" ref="E17">translit(C17)</f>
        <v/>
      </c>
      <c r="F17" s="4"/>
      <c r="G17" s="10"/>
    </row>
    <row r="18" spans="1:7" ht="15.75" thickBot="1">
      <c r="A18" s="3"/>
      <c r="B18" s="2" t="str">
        <f t="shared" si="0"/>
        <v/>
      </c>
      <c r="C18" s="2" t="str">
        <f t="shared" si="1"/>
        <v/>
      </c>
      <c r="D18" s="2" t="str" cm="1">
        <f t="array" ref="D18">translit(B18)</f>
        <v/>
      </c>
      <c r="E18" s="2" t="str" cm="1">
        <f t="array" ref="E18">translit(C18)</f>
        <v/>
      </c>
      <c r="F18" s="3"/>
      <c r="G18" s="9"/>
    </row>
    <row r="19" spans="1:7" ht="15.75" thickBot="1">
      <c r="A19" s="2" t="s">
        <v>40</v>
      </c>
      <c r="B19" s="2" t="str">
        <f t="shared" si="0"/>
        <v>Є</v>
      </c>
      <c r="C19" s="2" t="str">
        <f t="shared" si="1"/>
        <v>є</v>
      </c>
      <c r="D19" s="2" t="str" cm="1">
        <f t="array" ref="D19">translit(B19)</f>
        <v>Ye</v>
      </c>
      <c r="E19" s="2" t="str" cm="1">
        <f t="array" ref="E19">translit(C19)</f>
        <v>ie</v>
      </c>
      <c r="F19" s="2" t="s">
        <v>41</v>
      </c>
      <c r="G19" s="2" t="s">
        <v>43</v>
      </c>
    </row>
    <row r="20" spans="1:7" ht="15.75" thickBot="1">
      <c r="A20" s="4"/>
      <c r="B20" s="2" t="str">
        <f t="shared" si="0"/>
        <v/>
      </c>
      <c r="C20" s="2" t="str">
        <f t="shared" si="1"/>
        <v/>
      </c>
      <c r="D20" s="2" t="str" cm="1">
        <f t="array" ref="D20">translit(B20)</f>
        <v/>
      </c>
      <c r="E20" s="2" t="str" cm="1">
        <f t="array" ref="E20">translit(C20)</f>
        <v/>
      </c>
      <c r="F20" s="4" t="s">
        <v>42</v>
      </c>
      <c r="G20" s="4" t="s">
        <v>44</v>
      </c>
    </row>
    <row r="21" spans="1:7" ht="15.75" thickBot="1">
      <c r="A21" s="3"/>
      <c r="B21" s="2" t="str">
        <f t="shared" si="0"/>
        <v/>
      </c>
      <c r="C21" s="2" t="str">
        <f t="shared" si="1"/>
        <v/>
      </c>
      <c r="D21" s="2" t="str" cm="1">
        <f t="array" ref="D21">translit(B21)</f>
        <v/>
      </c>
      <c r="E21" s="2" t="str" cm="1">
        <f t="array" ref="E21">translit(C21)</f>
        <v/>
      </c>
      <c r="F21" s="5"/>
      <c r="G21" s="5"/>
    </row>
    <row r="22" spans="1:7" ht="15.75" thickBot="1">
      <c r="A22" s="2" t="s">
        <v>45</v>
      </c>
      <c r="B22" s="2" t="str">
        <f t="shared" si="0"/>
        <v>Ж</v>
      </c>
      <c r="C22" s="2" t="str">
        <f t="shared" si="1"/>
        <v>ж</v>
      </c>
      <c r="D22" s="2" t="str" cm="1">
        <f t="array" ref="D22">translit(B22)</f>
        <v>Zh</v>
      </c>
      <c r="E22" s="2" t="str" cm="1">
        <f t="array" ref="E22">translit(C22)</f>
        <v>zh</v>
      </c>
      <c r="F22" s="2" t="s">
        <v>46</v>
      </c>
      <c r="G22" s="8"/>
    </row>
    <row r="23" spans="1:7" ht="15.75" thickBot="1">
      <c r="A23" s="4"/>
      <c r="B23" s="2" t="str">
        <f t="shared" si="0"/>
        <v/>
      </c>
      <c r="C23" s="2" t="str">
        <f t="shared" si="1"/>
        <v/>
      </c>
      <c r="D23" s="2" t="str" cm="1">
        <f t="array" ref="D23">translit(B23)</f>
        <v/>
      </c>
      <c r="E23" s="2" t="str" cm="1">
        <f t="array" ref="E23">translit(C23)</f>
        <v/>
      </c>
      <c r="F23" s="4"/>
      <c r="G23" s="10"/>
    </row>
    <row r="24" spans="1:7" ht="15.75" thickBot="1">
      <c r="A24" s="3"/>
      <c r="B24" s="2" t="str">
        <f t="shared" si="0"/>
        <v/>
      </c>
      <c r="C24" s="2" t="str">
        <f t="shared" si="1"/>
        <v/>
      </c>
      <c r="D24" s="2" t="str" cm="1">
        <f t="array" ref="D24">translit(B24)</f>
        <v/>
      </c>
      <c r="E24" s="2" t="str" cm="1">
        <f t="array" ref="E24">translit(C24)</f>
        <v/>
      </c>
      <c r="F24" s="3"/>
      <c r="G24" s="9"/>
    </row>
    <row r="25" spans="1:7" ht="15.75" thickBot="1">
      <c r="A25" s="2" t="s">
        <v>47</v>
      </c>
      <c r="B25" s="2" t="str">
        <f t="shared" si="0"/>
        <v>З</v>
      </c>
      <c r="C25" s="2" t="str">
        <f t="shared" si="1"/>
        <v>з</v>
      </c>
      <c r="D25" s="2" t="str" cm="1">
        <f t="array" ref="D25">translit(B25)</f>
        <v>Z</v>
      </c>
      <c r="E25" s="2" t="str" cm="1">
        <f t="array" ref="E25">translit(C25)</f>
        <v>z</v>
      </c>
      <c r="F25" s="2" t="s">
        <v>48</v>
      </c>
      <c r="G25" s="8"/>
    </row>
    <row r="26" spans="1:7" ht="15.75" thickBot="1">
      <c r="A26" s="3"/>
      <c r="B26" s="2" t="str">
        <f t="shared" si="0"/>
        <v/>
      </c>
      <c r="C26" s="2" t="str">
        <f t="shared" si="1"/>
        <v/>
      </c>
      <c r="D26" s="2" t="str" cm="1">
        <f t="array" ref="D26">translit(B26)</f>
        <v/>
      </c>
      <c r="E26" s="2" t="str" cm="1">
        <f t="array" ref="E26">translit(C26)</f>
        <v/>
      </c>
      <c r="F26" s="3"/>
      <c r="G26" s="9"/>
    </row>
    <row r="27" spans="1:7" ht="15.75" thickBot="1">
      <c r="A27" s="2" t="s">
        <v>49</v>
      </c>
      <c r="B27" s="2" t="str">
        <f t="shared" si="0"/>
        <v>И</v>
      </c>
      <c r="C27" s="2" t="str">
        <f t="shared" si="1"/>
        <v>и</v>
      </c>
      <c r="D27" s="2" t="str" cm="1">
        <f t="array" ref="D27">translit(B27)</f>
        <v>Y</v>
      </c>
      <c r="E27" s="2" t="str" cm="1">
        <f t="array" ref="E27">translit(C27)</f>
        <v>y</v>
      </c>
      <c r="F27" s="2" t="s">
        <v>50</v>
      </c>
      <c r="G27" s="8"/>
    </row>
    <row r="28" spans="1:7" ht="15.75" thickBot="1">
      <c r="A28" s="3"/>
      <c r="B28" s="2" t="str">
        <f t="shared" si="0"/>
        <v/>
      </c>
      <c r="C28" s="2" t="str">
        <f t="shared" si="1"/>
        <v/>
      </c>
      <c r="D28" s="2" t="str" cm="1">
        <f t="array" ref="D28">translit(B28)</f>
        <v/>
      </c>
      <c r="E28" s="2" t="str" cm="1">
        <f t="array" ref="E28">translit(C28)</f>
        <v/>
      </c>
      <c r="F28" s="3"/>
      <c r="G28" s="9"/>
    </row>
    <row r="29" spans="1:7" ht="15.75" thickBot="1">
      <c r="A29" s="2" t="s">
        <v>51</v>
      </c>
      <c r="B29" s="2" t="str">
        <f t="shared" si="0"/>
        <v>І</v>
      </c>
      <c r="C29" s="2" t="str">
        <f t="shared" si="1"/>
        <v>і</v>
      </c>
      <c r="D29" s="2" t="str" cm="1">
        <f t="array" ref="D29">translit(B29)</f>
        <v>І</v>
      </c>
      <c r="E29" s="2" t="str" cm="1">
        <f t="array" ref="E29">translit(C29)</f>
        <v>i</v>
      </c>
      <c r="F29" s="2" t="s">
        <v>52</v>
      </c>
      <c r="G29" s="8"/>
    </row>
    <row r="30" spans="1:7" ht="15.75" thickBot="1">
      <c r="A30" s="3"/>
      <c r="B30" s="2" t="str">
        <f t="shared" si="0"/>
        <v/>
      </c>
      <c r="C30" s="2" t="str">
        <f t="shared" si="1"/>
        <v/>
      </c>
      <c r="D30" s="2" t="str" cm="1">
        <f t="array" ref="D30">translit(B30)</f>
        <v/>
      </c>
      <c r="E30" s="2" t="str" cm="1">
        <f t="array" ref="E30">translit(C30)</f>
        <v/>
      </c>
      <c r="F30" s="3"/>
      <c r="G30" s="9"/>
    </row>
    <row r="31" spans="1:7" ht="15.75" thickBot="1">
      <c r="A31" s="2" t="s">
        <v>53</v>
      </c>
      <c r="B31" s="2" t="str">
        <f t="shared" si="0"/>
        <v>Ї</v>
      </c>
      <c r="C31" s="2" t="str">
        <f t="shared" si="1"/>
        <v>ї</v>
      </c>
      <c r="D31" s="2" t="str" cm="1">
        <f t="array" ref="D31">translit(B31)</f>
        <v>Yi</v>
      </c>
      <c r="E31" s="2" t="str" cm="1">
        <f t="array" ref="E31">translit(C31)</f>
        <v>i</v>
      </c>
      <c r="F31" s="2" t="s">
        <v>54</v>
      </c>
      <c r="G31" s="2" t="s">
        <v>43</v>
      </c>
    </row>
    <row r="32" spans="1:7" ht="15.75" thickBot="1">
      <c r="A32" s="4"/>
      <c r="B32" s="2" t="str">
        <f t="shared" si="0"/>
        <v/>
      </c>
      <c r="C32" s="2" t="str">
        <f t="shared" si="1"/>
        <v/>
      </c>
      <c r="D32" s="2" t="str" cm="1">
        <f t="array" ref="D32">translit(B32)</f>
        <v/>
      </c>
      <c r="E32" s="2" t="str" cm="1">
        <f t="array" ref="E32">translit(C32)</f>
        <v/>
      </c>
      <c r="F32" s="4" t="s">
        <v>55</v>
      </c>
      <c r="G32" s="4" t="s">
        <v>44</v>
      </c>
    </row>
    <row r="33" spans="1:7" ht="15.75" thickBot="1">
      <c r="A33" s="3"/>
      <c r="B33" s="2" t="str">
        <f t="shared" si="0"/>
        <v/>
      </c>
      <c r="C33" s="2" t="str">
        <f t="shared" si="1"/>
        <v/>
      </c>
      <c r="D33" s="2" t="str" cm="1">
        <f t="array" ref="D33">translit(B33)</f>
        <v/>
      </c>
      <c r="E33" s="2" t="str" cm="1">
        <f t="array" ref="E33">translit(C33)</f>
        <v/>
      </c>
      <c r="F33" s="5"/>
      <c r="G33" s="5"/>
    </row>
    <row r="34" spans="1:7" ht="15.75" thickBot="1">
      <c r="A34" s="2" t="s">
        <v>56</v>
      </c>
      <c r="B34" s="2" t="str">
        <f t="shared" si="0"/>
        <v>Й</v>
      </c>
      <c r="C34" s="2" t="str">
        <f t="shared" si="1"/>
        <v>й</v>
      </c>
      <c r="D34" s="2" t="str" cm="1">
        <f t="array" ref="D34">translit(B34)</f>
        <v>Y</v>
      </c>
      <c r="E34" s="2" t="str" cm="1">
        <f t="array" ref="E34">translit(C34)</f>
        <v>i</v>
      </c>
      <c r="F34" s="2" t="s">
        <v>57</v>
      </c>
      <c r="G34" s="2" t="s">
        <v>43</v>
      </c>
    </row>
    <row r="35" spans="1:7" ht="15.75" thickBot="1">
      <c r="A35" s="4"/>
      <c r="B35" s="2" t="str">
        <f t="shared" si="0"/>
        <v/>
      </c>
      <c r="C35" s="2" t="str">
        <f t="shared" si="1"/>
        <v/>
      </c>
      <c r="D35" s="2" t="str" cm="1">
        <f t="array" ref="D35">translit(B35)</f>
        <v/>
      </c>
      <c r="E35" s="2" t="str" cm="1">
        <f t="array" ref="E35">translit(C35)</f>
        <v/>
      </c>
      <c r="F35" s="4" t="s">
        <v>55</v>
      </c>
      <c r="G35" s="4" t="s">
        <v>44</v>
      </c>
    </row>
    <row r="36" spans="1:7" ht="15.75" thickBot="1">
      <c r="A36" s="3"/>
      <c r="B36" s="2" t="str">
        <f t="shared" si="0"/>
        <v/>
      </c>
      <c r="C36" s="2" t="str">
        <f t="shared" si="1"/>
        <v/>
      </c>
      <c r="D36" s="2" t="str" cm="1">
        <f t="array" ref="D36">translit(B36)</f>
        <v/>
      </c>
      <c r="E36" s="2" t="str" cm="1">
        <f t="array" ref="E36">translit(C36)</f>
        <v/>
      </c>
      <c r="F36" s="5"/>
      <c r="G36" s="5"/>
    </row>
    <row r="37" spans="1:7" ht="15.75" thickBot="1">
      <c r="A37" s="2" t="s">
        <v>58</v>
      </c>
      <c r="B37" s="2" t="str">
        <f t="shared" si="0"/>
        <v>К</v>
      </c>
      <c r="C37" s="2" t="str">
        <f t="shared" si="1"/>
        <v>к</v>
      </c>
      <c r="D37" s="2" t="str" cm="1">
        <f t="array" ref="D37">translit(B37)</f>
        <v>K</v>
      </c>
      <c r="E37" s="2" t="str" cm="1">
        <f t="array" ref="E37">translit(C37)</f>
        <v>k</v>
      </c>
      <c r="F37" s="2" t="s">
        <v>59</v>
      </c>
      <c r="G37" s="8"/>
    </row>
    <row r="38" spans="1:7" ht="15.75" thickBot="1">
      <c r="A38" s="3"/>
      <c r="B38" s="2" t="str">
        <f t="shared" si="0"/>
        <v/>
      </c>
      <c r="C38" s="2" t="str">
        <f t="shared" si="1"/>
        <v/>
      </c>
      <c r="D38" s="2" t="str" cm="1">
        <f t="array" ref="D38">translit(B38)</f>
        <v/>
      </c>
      <c r="E38" s="2" t="str" cm="1">
        <f t="array" ref="E38">translit(C38)</f>
        <v/>
      </c>
      <c r="F38" s="3"/>
      <c r="G38" s="9"/>
    </row>
    <row r="39" spans="1:7" ht="15.75" thickBot="1">
      <c r="A39" s="2" t="s">
        <v>60</v>
      </c>
      <c r="B39" s="2" t="str">
        <f t="shared" si="0"/>
        <v>Л</v>
      </c>
      <c r="C39" s="2" t="str">
        <f t="shared" si="1"/>
        <v>л</v>
      </c>
      <c r="D39" s="2" t="str" cm="1">
        <f t="array" ref="D39">translit(B39)</f>
        <v>L</v>
      </c>
      <c r="E39" s="2" t="str" cm="1">
        <f t="array" ref="E39">translit(C39)</f>
        <v>l</v>
      </c>
      <c r="F39" s="2" t="s">
        <v>61</v>
      </c>
      <c r="G39" s="8"/>
    </row>
    <row r="40" spans="1:7" ht="15.75" thickBot="1">
      <c r="A40" s="3"/>
      <c r="B40" s="2" t="str">
        <f t="shared" si="0"/>
        <v/>
      </c>
      <c r="C40" s="2" t="str">
        <f t="shared" si="1"/>
        <v/>
      </c>
      <c r="D40" s="2" t="str" cm="1">
        <f t="array" ref="D40">translit(B40)</f>
        <v/>
      </c>
      <c r="E40" s="2" t="str" cm="1">
        <f t="array" ref="E40">translit(C40)</f>
        <v/>
      </c>
      <c r="F40" s="3"/>
      <c r="G40" s="9"/>
    </row>
    <row r="41" spans="1:7" ht="15.75" thickBot="1">
      <c r="A41" s="2" t="s">
        <v>62</v>
      </c>
      <c r="B41" s="2" t="str">
        <f t="shared" si="0"/>
        <v>М</v>
      </c>
      <c r="C41" s="2" t="str">
        <f t="shared" si="1"/>
        <v>м</v>
      </c>
      <c r="D41" s="2" t="str" cm="1">
        <f t="array" ref="D41">translit(B41)</f>
        <v>M</v>
      </c>
      <c r="E41" s="2" t="str" cm="1">
        <f t="array" ref="E41">translit(C41)</f>
        <v>m</v>
      </c>
      <c r="F41" s="2" t="s">
        <v>63</v>
      </c>
      <c r="G41" s="8"/>
    </row>
    <row r="42" spans="1:7" ht="15.75" thickBot="1">
      <c r="A42" s="3"/>
      <c r="B42" s="2" t="str">
        <f t="shared" si="0"/>
        <v/>
      </c>
      <c r="C42" s="2" t="str">
        <f t="shared" si="1"/>
        <v/>
      </c>
      <c r="D42" s="2" t="str" cm="1">
        <f t="array" ref="D42">translit(B42)</f>
        <v/>
      </c>
      <c r="E42" s="2" t="str" cm="1">
        <f t="array" ref="E42">translit(C42)</f>
        <v/>
      </c>
      <c r="F42" s="3"/>
      <c r="G42" s="9"/>
    </row>
    <row r="43" spans="1:7" ht="15.75" thickBot="1">
      <c r="A43" s="2" t="s">
        <v>64</v>
      </c>
      <c r="B43" s="2" t="str">
        <f t="shared" si="0"/>
        <v>Н</v>
      </c>
      <c r="C43" s="2" t="str">
        <f t="shared" si="1"/>
        <v>н</v>
      </c>
      <c r="D43" s="2" t="str" cm="1">
        <f t="array" ref="D43">translit(B43)</f>
        <v>N</v>
      </c>
      <c r="E43" s="2" t="str" cm="1">
        <f t="array" ref="E43">translit(C43)</f>
        <v>n</v>
      </c>
      <c r="F43" s="2" t="s">
        <v>65</v>
      </c>
      <c r="G43" s="8"/>
    </row>
    <row r="44" spans="1:7" ht="15.75" thickBot="1">
      <c r="A44" s="3"/>
      <c r="B44" s="2" t="str">
        <f t="shared" si="0"/>
        <v/>
      </c>
      <c r="C44" s="2" t="str">
        <f t="shared" si="1"/>
        <v/>
      </c>
      <c r="D44" s="2" t="str" cm="1">
        <f t="array" ref="D44">translit(B44)</f>
        <v/>
      </c>
      <c r="E44" s="2" t="str" cm="1">
        <f t="array" ref="E44">translit(C44)</f>
        <v/>
      </c>
      <c r="F44" s="3"/>
      <c r="G44" s="9"/>
    </row>
    <row r="45" spans="1:7" ht="15.75" thickBot="1">
      <c r="A45" s="2" t="s">
        <v>66</v>
      </c>
      <c r="B45" s="2" t="str">
        <f t="shared" si="0"/>
        <v>О</v>
      </c>
      <c r="C45" s="2" t="str">
        <f t="shared" si="1"/>
        <v>о</v>
      </c>
      <c r="D45" s="2" t="str" cm="1">
        <f t="array" ref="D45">translit(B45)</f>
        <v>O</v>
      </c>
      <c r="E45" s="2" t="str" cm="1">
        <f t="array" ref="E45">translit(C45)</f>
        <v>o</v>
      </c>
      <c r="F45" s="2" t="s">
        <v>67</v>
      </c>
      <c r="G45" s="8"/>
    </row>
    <row r="46" spans="1:7" ht="15.75" thickBot="1">
      <c r="A46" s="3"/>
      <c r="B46" s="2" t="str">
        <f t="shared" si="0"/>
        <v/>
      </c>
      <c r="C46" s="2" t="str">
        <f t="shared" si="1"/>
        <v/>
      </c>
      <c r="D46" s="2" t="str" cm="1">
        <f t="array" ref="D46">translit(B46)</f>
        <v/>
      </c>
      <c r="E46" s="2" t="str" cm="1">
        <f t="array" ref="E46">translit(C46)</f>
        <v/>
      </c>
      <c r="F46" s="3"/>
      <c r="G46" s="9"/>
    </row>
    <row r="47" spans="1:7" ht="15.75" thickBot="1">
      <c r="A47" s="2" t="s">
        <v>68</v>
      </c>
      <c r="B47" s="2" t="str">
        <f t="shared" si="0"/>
        <v>П</v>
      </c>
      <c r="C47" s="2" t="str">
        <f t="shared" si="1"/>
        <v>п</v>
      </c>
      <c r="D47" s="2" t="str" cm="1">
        <f t="array" ref="D47">translit(B47)</f>
        <v>P</v>
      </c>
      <c r="E47" s="2" t="str" cm="1">
        <f t="array" ref="E47">translit(C47)</f>
        <v>p</v>
      </c>
      <c r="F47" s="2" t="s">
        <v>69</v>
      </c>
      <c r="G47" s="8"/>
    </row>
    <row r="48" spans="1:7" ht="15.75" thickBot="1">
      <c r="A48" s="3"/>
      <c r="B48" s="2" t="str">
        <f t="shared" si="0"/>
        <v/>
      </c>
      <c r="C48" s="2" t="str">
        <f t="shared" si="1"/>
        <v/>
      </c>
      <c r="D48" s="2" t="str" cm="1">
        <f t="array" ref="D48">translit(B48)</f>
        <v/>
      </c>
      <c r="E48" s="2" t="str" cm="1">
        <f t="array" ref="E48">translit(C48)</f>
        <v/>
      </c>
      <c r="F48" s="3"/>
      <c r="G48" s="9"/>
    </row>
    <row r="49" spans="1:7" ht="15.75" thickBot="1">
      <c r="A49" s="2" t="s">
        <v>70</v>
      </c>
      <c r="B49" s="2" t="str">
        <f t="shared" si="0"/>
        <v>Р</v>
      </c>
      <c r="C49" s="2" t="str">
        <f t="shared" si="1"/>
        <v>р</v>
      </c>
      <c r="D49" s="2" t="str" cm="1">
        <f t="array" ref="D49">translit(B49)</f>
        <v>R</v>
      </c>
      <c r="E49" s="2" t="str" cm="1">
        <f t="array" ref="E49">translit(C49)</f>
        <v>r</v>
      </c>
      <c r="F49" s="2" t="s">
        <v>71</v>
      </c>
      <c r="G49" s="8"/>
    </row>
    <row r="50" spans="1:7" ht="15.75" thickBot="1">
      <c r="A50" s="3"/>
      <c r="B50" s="2" t="str">
        <f t="shared" si="0"/>
        <v/>
      </c>
      <c r="C50" s="2" t="str">
        <f t="shared" si="1"/>
        <v/>
      </c>
      <c r="D50" s="2" t="str" cm="1">
        <f t="array" ref="D50">translit(B50)</f>
        <v/>
      </c>
      <c r="E50" s="2" t="str" cm="1">
        <f t="array" ref="E50">translit(C50)</f>
        <v/>
      </c>
      <c r="F50" s="3"/>
      <c r="G50" s="9"/>
    </row>
    <row r="51" spans="1:7" ht="15.75" thickBot="1">
      <c r="A51" s="2" t="s">
        <v>72</v>
      </c>
      <c r="B51" s="2" t="str">
        <f t="shared" si="0"/>
        <v>С</v>
      </c>
      <c r="C51" s="2" t="str">
        <f t="shared" si="1"/>
        <v>с</v>
      </c>
      <c r="D51" s="2" t="str" cm="1">
        <f t="array" ref="D51">translit(B51)</f>
        <v>S</v>
      </c>
      <c r="E51" s="2" t="str" cm="1">
        <f t="array" ref="E51">translit(C51)</f>
        <v>s</v>
      </c>
      <c r="F51" s="2" t="s">
        <v>73</v>
      </c>
      <c r="G51" s="8"/>
    </row>
    <row r="52" spans="1:7" ht="15.75" thickBot="1">
      <c r="A52" s="3"/>
      <c r="B52" s="2" t="str">
        <f t="shared" si="0"/>
        <v/>
      </c>
      <c r="C52" s="2" t="str">
        <f t="shared" si="1"/>
        <v/>
      </c>
      <c r="D52" s="2" t="str" cm="1">
        <f t="array" ref="D52">translit(B52)</f>
        <v/>
      </c>
      <c r="E52" s="2" t="str" cm="1">
        <f t="array" ref="E52">translit(C52)</f>
        <v/>
      </c>
      <c r="F52" s="3"/>
      <c r="G52" s="9"/>
    </row>
    <row r="53" spans="1:7" ht="15.75" thickBot="1">
      <c r="A53" s="2" t="s">
        <v>74</v>
      </c>
      <c r="B53" s="2" t="str">
        <f t="shared" si="0"/>
        <v>Т</v>
      </c>
      <c r="C53" s="2" t="str">
        <f t="shared" si="1"/>
        <v>т</v>
      </c>
      <c r="D53" s="2" t="str" cm="1">
        <f t="array" ref="D53">translit(B53)</f>
        <v>T</v>
      </c>
      <c r="E53" s="2" t="str" cm="1">
        <f t="array" ref="E53">translit(C53)</f>
        <v>t</v>
      </c>
      <c r="F53" s="2" t="s">
        <v>75</v>
      </c>
      <c r="G53" s="8"/>
    </row>
    <row r="54" spans="1:7" ht="15.75" thickBot="1">
      <c r="A54" s="3"/>
      <c r="B54" s="2" t="str">
        <f t="shared" si="0"/>
        <v/>
      </c>
      <c r="C54" s="2" t="str">
        <f t="shared" si="1"/>
        <v/>
      </c>
      <c r="D54" s="2" t="str" cm="1">
        <f t="array" ref="D54">translit(B54)</f>
        <v/>
      </c>
      <c r="E54" s="2" t="str" cm="1">
        <f t="array" ref="E54">translit(C54)</f>
        <v/>
      </c>
      <c r="F54" s="3"/>
      <c r="G54" s="9"/>
    </row>
    <row r="55" spans="1:7" ht="15.75" thickBot="1">
      <c r="A55" s="2" t="s">
        <v>76</v>
      </c>
      <c r="B55" s="2" t="str">
        <f t="shared" si="0"/>
        <v>У</v>
      </c>
      <c r="C55" s="2" t="str">
        <f t="shared" si="1"/>
        <v>у</v>
      </c>
      <c r="D55" s="2" t="str" cm="1">
        <f t="array" ref="D55">translit(B55)</f>
        <v>U</v>
      </c>
      <c r="E55" s="2" t="str" cm="1">
        <f t="array" ref="E55">translit(C55)</f>
        <v>u</v>
      </c>
      <c r="F55" s="2" t="s">
        <v>77</v>
      </c>
      <c r="G55" s="8"/>
    </row>
    <row r="56" spans="1:7" ht="15.75" thickBot="1">
      <c r="A56" s="3"/>
      <c r="B56" s="2" t="str">
        <f t="shared" si="0"/>
        <v/>
      </c>
      <c r="C56" s="2" t="str">
        <f t="shared" si="1"/>
        <v/>
      </c>
      <c r="D56" s="2" t="str" cm="1">
        <f t="array" ref="D56">translit(B56)</f>
        <v/>
      </c>
      <c r="E56" s="2" t="str" cm="1">
        <f t="array" ref="E56">translit(C56)</f>
        <v/>
      </c>
      <c r="F56" s="3"/>
      <c r="G56" s="9"/>
    </row>
    <row r="57" spans="1:7" ht="15.75" thickBot="1">
      <c r="A57" s="2" t="s">
        <v>78</v>
      </c>
      <c r="B57" s="2" t="str">
        <f t="shared" si="0"/>
        <v>Ф</v>
      </c>
      <c r="C57" s="2" t="str">
        <f t="shared" si="1"/>
        <v>ф</v>
      </c>
      <c r="D57" s="2" t="str" cm="1">
        <f t="array" ref="D57">translit(B57)</f>
        <v>F</v>
      </c>
      <c r="E57" s="2" t="str" cm="1">
        <f t="array" ref="E57">translit(C57)</f>
        <v>f</v>
      </c>
      <c r="F57" s="2" t="s">
        <v>79</v>
      </c>
      <c r="G57" s="8"/>
    </row>
    <row r="58" spans="1:7" ht="15.75" thickBot="1">
      <c r="A58" s="3"/>
      <c r="B58" s="2" t="str">
        <f t="shared" si="0"/>
        <v/>
      </c>
      <c r="C58" s="2" t="str">
        <f t="shared" si="1"/>
        <v/>
      </c>
      <c r="D58" s="2" t="str" cm="1">
        <f t="array" ref="D58">translit(B58)</f>
        <v/>
      </c>
      <c r="E58" s="2" t="str" cm="1">
        <f t="array" ref="E58">translit(C58)</f>
        <v/>
      </c>
      <c r="F58" s="3"/>
      <c r="G58" s="9"/>
    </row>
    <row r="59" spans="1:7" ht="15.75" thickBot="1">
      <c r="A59" s="2" t="s">
        <v>80</v>
      </c>
      <c r="B59" s="2" t="str">
        <f t="shared" si="0"/>
        <v>Х</v>
      </c>
      <c r="C59" s="2" t="str">
        <f t="shared" si="1"/>
        <v>х</v>
      </c>
      <c r="D59" s="2" t="str" cm="1">
        <f t="array" ref="D59">translit(B59)</f>
        <v>Kh</v>
      </c>
      <c r="E59" s="2" t="str" cm="1">
        <f t="array" ref="E59">translit(C59)</f>
        <v>kh</v>
      </c>
      <c r="F59" s="2" t="s">
        <v>81</v>
      </c>
      <c r="G59" s="8"/>
    </row>
    <row r="60" spans="1:7" ht="15.75" thickBot="1">
      <c r="A60" s="3"/>
      <c r="B60" s="2" t="str">
        <f t="shared" si="0"/>
        <v/>
      </c>
      <c r="C60" s="2" t="str">
        <f t="shared" si="1"/>
        <v/>
      </c>
      <c r="D60" s="2" t="str" cm="1">
        <f t="array" ref="D60">translit(B60)</f>
        <v/>
      </c>
      <c r="E60" s="2" t="str" cm="1">
        <f t="array" ref="E60">translit(C60)</f>
        <v/>
      </c>
      <c r="F60" s="3"/>
      <c r="G60" s="9"/>
    </row>
    <row r="61" spans="1:7" ht="15.75" thickBot="1">
      <c r="A61" s="2" t="s">
        <v>82</v>
      </c>
      <c r="B61" s="2" t="str">
        <f t="shared" si="0"/>
        <v>Ц</v>
      </c>
      <c r="C61" s="2" t="str">
        <f t="shared" si="1"/>
        <v>ц</v>
      </c>
      <c r="D61" s="2" t="str" cm="1">
        <f t="array" ref="D61">translit(B61)</f>
        <v>Ts</v>
      </c>
      <c r="E61" s="2" t="str" cm="1">
        <f t="array" ref="E61">translit(C61)</f>
        <v>ts</v>
      </c>
      <c r="F61" s="2" t="s">
        <v>83</v>
      </c>
      <c r="G61" s="8"/>
    </row>
    <row r="62" spans="1:7" ht="15.75" thickBot="1">
      <c r="A62" s="3"/>
      <c r="B62" s="2" t="str">
        <f t="shared" si="0"/>
        <v/>
      </c>
      <c r="C62" s="2" t="str">
        <f t="shared" si="1"/>
        <v/>
      </c>
      <c r="D62" s="2" t="str" cm="1">
        <f t="array" ref="D62">translit(B62)</f>
        <v/>
      </c>
      <c r="E62" s="2" t="str" cm="1">
        <f t="array" ref="E62">translit(C62)</f>
        <v/>
      </c>
      <c r="F62" s="3"/>
      <c r="G62" s="9"/>
    </row>
    <row r="63" spans="1:7" ht="15.75" thickBot="1">
      <c r="A63" s="2" t="s">
        <v>84</v>
      </c>
      <c r="B63" s="2" t="str">
        <f t="shared" si="0"/>
        <v>Ч</v>
      </c>
      <c r="C63" s="2" t="str">
        <f t="shared" si="1"/>
        <v>ч</v>
      </c>
      <c r="D63" s="2" t="str" cm="1">
        <f t="array" ref="D63">translit(B63)</f>
        <v>Ch</v>
      </c>
      <c r="E63" s="2" t="str" cm="1">
        <f t="array" ref="E63">translit(C63)</f>
        <v>ch</v>
      </c>
      <c r="F63" s="2" t="s">
        <v>85</v>
      </c>
      <c r="G63" s="8"/>
    </row>
    <row r="64" spans="1:7" ht="15.75" thickBot="1">
      <c r="A64" s="3"/>
      <c r="B64" s="2" t="str">
        <f t="shared" si="0"/>
        <v/>
      </c>
      <c r="C64" s="2" t="str">
        <f t="shared" si="1"/>
        <v/>
      </c>
      <c r="D64" s="2" t="str" cm="1">
        <f t="array" ref="D64">translit(B64)</f>
        <v/>
      </c>
      <c r="E64" s="2" t="str" cm="1">
        <f t="array" ref="E64">translit(C64)</f>
        <v/>
      </c>
      <c r="F64" s="3"/>
      <c r="G64" s="9"/>
    </row>
    <row r="65" spans="1:7" ht="15.75" thickBot="1">
      <c r="A65" s="2" t="s">
        <v>86</v>
      </c>
      <c r="B65" s="2" t="str">
        <f t="shared" si="0"/>
        <v>Ш</v>
      </c>
      <c r="C65" s="2" t="str">
        <f t="shared" si="1"/>
        <v>ш</v>
      </c>
      <c r="D65" s="2" t="str" cm="1">
        <f t="array" ref="D65">translit(B65)</f>
        <v>Sh</v>
      </c>
      <c r="E65" s="2" t="str" cm="1">
        <f t="array" ref="E65">translit(C65)</f>
        <v>sh</v>
      </c>
      <c r="F65" s="2" t="s">
        <v>87</v>
      </c>
      <c r="G65" s="8"/>
    </row>
    <row r="66" spans="1:7" ht="15.75" thickBot="1">
      <c r="A66" s="3"/>
      <c r="B66" s="2" t="str">
        <f t="shared" si="0"/>
        <v/>
      </c>
      <c r="C66" s="2" t="str">
        <f t="shared" si="1"/>
        <v/>
      </c>
      <c r="D66" s="2" t="str" cm="1">
        <f t="array" ref="D66">translit(B66)</f>
        <v/>
      </c>
      <c r="E66" s="2" t="str" cm="1">
        <f t="array" ref="E66">translit(C66)</f>
        <v/>
      </c>
      <c r="F66" s="3"/>
      <c r="G66" s="9"/>
    </row>
    <row r="67" spans="1:7" ht="15.75" thickBot="1">
      <c r="A67" s="2" t="s">
        <v>88</v>
      </c>
      <c r="B67" s="2" t="str">
        <f t="shared" si="0"/>
        <v>Щ</v>
      </c>
      <c r="C67" s="2" t="str">
        <f t="shared" si="1"/>
        <v>щ</v>
      </c>
      <c r="D67" s="2" t="str" cm="1">
        <f t="array" ref="D67">translit(B67)</f>
        <v>Shch</v>
      </c>
      <c r="E67" s="2" t="str" cm="1">
        <f t="array" ref="E67">translit(C67)</f>
        <v>shch</v>
      </c>
      <c r="F67" s="2" t="s">
        <v>89</v>
      </c>
      <c r="G67" s="8"/>
    </row>
    <row r="68" spans="1:7" ht="15.75" thickBot="1">
      <c r="A68" s="4"/>
      <c r="B68" s="2" t="str">
        <f t="shared" ref="B68:B76" si="2">LEFT(A68,1)</f>
        <v/>
      </c>
      <c r="C68" s="2" t="str">
        <f t="shared" ref="C68:C77" si="3">RIGHT(A68,1)</f>
        <v/>
      </c>
      <c r="D68" s="2" t="str" cm="1">
        <f t="array" ref="D68">translit(B68)</f>
        <v/>
      </c>
      <c r="E68" s="2" t="str" cm="1">
        <f t="array" ref="E68">translit(C68)</f>
        <v/>
      </c>
      <c r="F68" s="4"/>
      <c r="G68" s="10"/>
    </row>
    <row r="69" spans="1:7" ht="15.75" thickBot="1">
      <c r="A69" s="3"/>
      <c r="B69" s="2" t="str">
        <f t="shared" si="2"/>
        <v/>
      </c>
      <c r="C69" s="2" t="str">
        <f t="shared" si="3"/>
        <v/>
      </c>
      <c r="D69" s="2" t="str" cm="1">
        <f t="array" ref="D69">translit(B69)</f>
        <v/>
      </c>
      <c r="E69" s="2" t="str" cm="1">
        <f t="array" ref="E69">translit(C69)</f>
        <v/>
      </c>
      <c r="F69" s="3"/>
      <c r="G69" s="9"/>
    </row>
    <row r="70" spans="1:7" ht="15.75" thickBot="1">
      <c r="A70" s="2" t="s">
        <v>90</v>
      </c>
      <c r="B70" s="2" t="str">
        <f t="shared" si="2"/>
        <v>Ю</v>
      </c>
      <c r="C70" s="2" t="str">
        <f t="shared" si="3"/>
        <v>ю</v>
      </c>
      <c r="D70" s="2" t="str" cm="1">
        <f t="array" ref="D70">translit(B70)</f>
        <v>Yu</v>
      </c>
      <c r="E70" s="2" t="str" cm="1">
        <f t="array" ref="E70">translit(C70)</f>
        <v>iu</v>
      </c>
      <c r="F70" s="2" t="s">
        <v>91</v>
      </c>
      <c r="G70" s="2" t="s">
        <v>43</v>
      </c>
    </row>
    <row r="71" spans="1:7" ht="15.75" thickBot="1">
      <c r="A71" s="3"/>
      <c r="B71" s="2" t="str">
        <f t="shared" si="2"/>
        <v/>
      </c>
      <c r="C71" s="2" t="str">
        <f t="shared" si="3"/>
        <v/>
      </c>
      <c r="D71" s="2" t="str" cm="1">
        <f t="array" ref="D71">translit(B71)</f>
        <v/>
      </c>
      <c r="E71" s="2" t="str" cm="1">
        <f t="array" ref="E71">translit(C71)</f>
        <v/>
      </c>
      <c r="F71" s="3" t="s">
        <v>92</v>
      </c>
      <c r="G71" s="3" t="s">
        <v>44</v>
      </c>
    </row>
    <row r="72" spans="1:7" ht="15.75" thickBot="1">
      <c r="A72" s="2" t="s">
        <v>93</v>
      </c>
      <c r="B72" s="2" t="str">
        <f t="shared" si="2"/>
        <v>Я</v>
      </c>
      <c r="C72" s="2" t="str">
        <f t="shared" si="3"/>
        <v>я</v>
      </c>
      <c r="D72" s="2" t="str" cm="1">
        <f t="array" ref="D72">translit(B72)</f>
        <v>Ya</v>
      </c>
      <c r="E72" s="2" t="str" cm="1">
        <f t="array" ref="E72">translit(C72)</f>
        <v>ia</v>
      </c>
      <c r="F72" s="2" t="s">
        <v>94</v>
      </c>
      <c r="G72" s="2" t="s">
        <v>43</v>
      </c>
    </row>
    <row r="73" spans="1:7" ht="15.75" thickBot="1">
      <c r="A73" s="4"/>
      <c r="B73" s="2" t="str">
        <f t="shared" si="2"/>
        <v/>
      </c>
      <c r="C73" s="2" t="str">
        <f t="shared" si="3"/>
        <v/>
      </c>
      <c r="D73" s="2" t="str" cm="1">
        <f t="array" ref="D73">translit(B73)</f>
        <v/>
      </c>
      <c r="E73" s="2" t="str" cm="1">
        <f t="array" ref="E73">translit(C73)</f>
        <v/>
      </c>
      <c r="F73" s="4" t="s">
        <v>95</v>
      </c>
      <c r="G73" s="4" t="s">
        <v>44</v>
      </c>
    </row>
    <row r="74" spans="1:7" ht="15.75" thickBot="1">
      <c r="A74" s="4"/>
      <c r="B74" s="2" t="str">
        <f t="shared" si="2"/>
        <v/>
      </c>
      <c r="C74" s="2" t="str">
        <f t="shared" si="3"/>
        <v/>
      </c>
      <c r="D74" s="2" t="str" cm="1">
        <f t="array" ref="D74">translit(B74)</f>
        <v/>
      </c>
      <c r="E74" s="2" t="str" cm="1">
        <f t="array" ref="E74">translit(C74)</f>
        <v/>
      </c>
      <c r="F74" s="6"/>
      <c r="G74" s="6"/>
    </row>
    <row r="75" spans="1:7" ht="15.75" thickBot="1">
      <c r="A75" s="4"/>
      <c r="B75" s="2" t="str">
        <f t="shared" si="2"/>
        <v/>
      </c>
      <c r="C75" s="2" t="str">
        <f t="shared" si="3"/>
        <v/>
      </c>
      <c r="D75" s="2" t="str" cm="1">
        <f t="array" ref="D75">translit(B75)</f>
        <v/>
      </c>
      <c r="E75" s="2" t="str" cm="1">
        <f t="array" ref="E75">translit(C75)</f>
        <v/>
      </c>
      <c r="F75" s="6"/>
      <c r="G75" s="6"/>
    </row>
    <row r="76" spans="1:7" ht="15.75" thickBot="1">
      <c r="A76" s="3"/>
      <c r="B76" s="2" t="str">
        <f t="shared" si="2"/>
        <v/>
      </c>
      <c r="C76" s="2" t="str">
        <f t="shared" si="3"/>
        <v/>
      </c>
      <c r="D76" s="2" t="str" cm="1">
        <f t="array" ref="D76">translit(B76)</f>
        <v/>
      </c>
      <c r="E76" s="2" t="str" cm="1">
        <f t="array" ref="E76">translit(C76)</f>
        <v/>
      </c>
      <c r="F76" s="5"/>
      <c r="G76" s="5"/>
    </row>
    <row r="77" spans="1:7">
      <c r="C77" s="2" t="str">
        <f t="shared" si="3"/>
        <v/>
      </c>
    </row>
  </sheetData>
  <mergeCells count="30">
    <mergeCell ref="G5:G6"/>
    <mergeCell ref="G7:G8"/>
    <mergeCell ref="A1:A2"/>
    <mergeCell ref="F1:F2"/>
    <mergeCell ref="G1:G2"/>
    <mergeCell ref="G3:G4"/>
    <mergeCell ref="G22:G24"/>
    <mergeCell ref="G25:G26"/>
    <mergeCell ref="G14:G15"/>
    <mergeCell ref="G16:G18"/>
    <mergeCell ref="G9:G11"/>
    <mergeCell ref="G12:G13"/>
    <mergeCell ref="G41:G42"/>
    <mergeCell ref="G43:G44"/>
    <mergeCell ref="G37:G38"/>
    <mergeCell ref="G39:G40"/>
    <mergeCell ref="G27:G28"/>
    <mergeCell ref="G29:G30"/>
    <mergeCell ref="G53:G54"/>
    <mergeCell ref="G55:G56"/>
    <mergeCell ref="G49:G50"/>
    <mergeCell ref="G51:G52"/>
    <mergeCell ref="G45:G46"/>
    <mergeCell ref="G47:G48"/>
    <mergeCell ref="G65:G66"/>
    <mergeCell ref="G67:G69"/>
    <mergeCell ref="G61:G62"/>
    <mergeCell ref="G63:G64"/>
    <mergeCell ref="G57:G58"/>
    <mergeCell ref="G59:G6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Viktor Tsykunov</dc:creator>
  <cp:lastModifiedBy>Viktor Tsykunov</cp:lastModifiedBy>
  <dcterms:created xsi:type="dcterms:W3CDTF">2020-03-31T19:20:25Z</dcterms:created>
  <dcterms:modified xsi:type="dcterms:W3CDTF">2020-04-02T06:43:56Z</dcterms:modified>
</cp:coreProperties>
</file>